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erencias por periodo" sheetId="1" r:id="rId1"/>
    <sheet name="Por qué y ejemplos" sheetId="2" r:id="rId2"/>
  </sheets>
  <calcPr calcId="124519" fullCalcOnLoad="1"/>
</workbook>
</file>

<file path=xl/sharedStrings.xml><?xml version="1.0" encoding="utf-8"?>
<sst xmlns="http://schemas.openxmlformats.org/spreadsheetml/2006/main" count="193" uniqueCount="104">
  <si>
    <t>Diferencia entre la procesada y la base manual, por periodo</t>
  </si>
  <si>
    <t>Diferencia = Procesada − Manual, en USD. Se suma cada columna de montos sobre todas las filas de cada base. Procesada = PROCESADO final de OneDrive (salida del notebook 4). Periodos con base manual: 202509, 202510, 202512, 202604 y 202606.</t>
  </si>
  <si>
    <t>1. Diferencia por columna numérica</t>
  </si>
  <si>
    <t>Columna</t>
  </si>
  <si>
    <t>202509</t>
  </si>
  <si>
    <t>202510</t>
  </si>
  <si>
    <t>202512</t>
  </si>
  <si>
    <t>202604</t>
  </si>
  <si>
    <t>202606</t>
  </si>
  <si>
    <t>Cumulative EXPENSES PAID</t>
  </si>
  <si>
    <t>Cumulative VALUATION EXPENSES</t>
  </si>
  <si>
    <t>Cumulative CLAIMS PAID</t>
  </si>
  <si>
    <t>Total Claims Paid Inward</t>
  </si>
  <si>
    <t>Total Claims Paid no Alae</t>
  </si>
  <si>
    <t>OSLR Inward</t>
  </si>
  <si>
    <t>Inward Incurred</t>
  </si>
  <si>
    <t>Inward Incurred no Alae</t>
  </si>
  <si>
    <t>GROSS RESERVE</t>
  </si>
  <si>
    <t>DEDUCTIBLE</t>
  </si>
  <si>
    <t>Cumulative SALVAGE</t>
  </si>
  <si>
    <t>N° de filas</t>
  </si>
  <si>
    <t>N° de siniestros distintos</t>
  </si>
  <si>
    <t>2. De qué se compone la diferencia de GROSS RESERVE</t>
  </si>
  <si>
    <t>Causa</t>
  </si>
  <si>
    <t>Manual con el Gross Reserve del siniestro vecino (323372640000025)</t>
  </si>
  <si>
    <t>Otros siniestros con diferencia mayor a $1</t>
  </si>
  <si>
    <t>Redondeo (menos de $1 por siniestro)</t>
  </si>
  <si>
    <t>Total (cuadra con la fila de GROSS RESERVE de arriba)</t>
  </si>
  <si>
    <t>Revisión: total − fila de arriba</t>
  </si>
  <si>
    <t>3. De qué se compone la diferencia de DEDUCTIBLE</t>
  </si>
  <si>
    <t>Siniestros solo en la procesada (cerrados o terminados, montos en 0)</t>
  </si>
  <si>
    <t>BDX sin deducible en siniestro cerrado: procesada 0, manual lo conserva</t>
  </si>
  <si>
    <t>BDX con dos líneas (321361640000031): el pipeline suma ambas</t>
  </si>
  <si>
    <t>Otros</t>
  </si>
  <si>
    <t>Total (cuadra con la fila de DEDUCTIBLE de arriba)</t>
  </si>
  <si>
    <t>N° de siniestros: solo en la procesada / BDX sin deducible / dos líneas</t>
  </si>
  <si>
    <t>174 / 7 / 1</t>
  </si>
  <si>
    <t>174 / 11 / 1</t>
  </si>
  <si>
    <t>174 / 14 / 1</t>
  </si>
  <si>
    <t>174 / 22 / 1</t>
  </si>
  <si>
    <t>174 / 32 / 1</t>
  </si>
  <si>
    <t>Las 9 columnas restantes (pagos, gastos, incurrido, OSLR y salvamento) coinciden entre las dos bases: sus diferencias son de centavos por redondeo. El detalle de cada causa, con ejemplos, está en la hoja "Por qué y ejemplos".</t>
  </si>
  <si>
    <t>Por qué difieren y ejemplos de siniestros (datos de 202606)</t>
  </si>
  <si>
    <t>Cada ejemplo muestra lo que trae el BDX del mes (archivo consolidado por el notebook 1), lo que tiene la base manual y lo que quedó en la procesada. "vacío" significa que el BDX trae la celda sin valor; "no está" significa que el siniestro no aparece en esa fuente.</t>
  </si>
  <si>
    <t>A. Siniestros solo en la procesada: +1,151,000 de Deductible (174 siniestros con deducible)</t>
  </si>
  <si>
    <t>La procesada conserva todos los siniestros que trae el BDX; la manual no carga 350 siniestros cerrados o terminados con todos los montos en 0 (la mayoría de RC Fletadores). De esos, 174 tienen deducible mayor a 0 y por eso suman 1,151,000. No hay diferencia en ningún otro monto. Decisión: se deja así; es una diferencia de cobertura, no de valor.</t>
  </si>
  <si>
    <t>Siniestro</t>
  </si>
  <si>
    <t>Póliza</t>
  </si>
  <si>
    <t>Estatus</t>
  </si>
  <si>
    <t>BDX: Gross Reserve</t>
  </si>
  <si>
    <t>BDX: Deducible</t>
  </si>
  <si>
    <t>BDX: archivo / hoja</t>
  </si>
  <si>
    <t>Manual: Gross Reserve</t>
  </si>
  <si>
    <t>Manual: Deducible</t>
  </si>
  <si>
    <t>Procesada: Gross Reserve</t>
  </si>
  <si>
    <t>Procesada: Deducible</t>
  </si>
  <si>
    <t>Qué se ve</t>
  </si>
  <si>
    <t>35100 3018201</t>
  </si>
  <si>
    <t>25200 30002933</t>
  </si>
  <si>
    <t>C</t>
  </si>
  <si>
    <t>vacío</t>
  </si>
  <si>
    <t>Bordereaux_Inbursa_Casco_Pandi_Transporte_09-11_JUNIO_2026.xlsx / Casco 09-11</t>
  </si>
  <si>
    <t>no está</t>
  </si>
  <si>
    <t>Casco cerrado: el BDX trae 200,000 de deducible y la procesada lo conserva; la manual no lo carga.</t>
  </si>
  <si>
    <t>322361640000056</t>
  </si>
  <si>
    <t>3612100000008</t>
  </si>
  <si>
    <t>Bordereaux_Mapfre_Casco_Pandi_Transportes_21-23_JUNIO_2026.xlsx / FletadoresRC PMI</t>
  </si>
  <si>
    <t>RC Fletadores PMI cerrado con 2,500: está en el BDX y en la procesada, no en la manual.</t>
  </si>
  <si>
    <t>103546/2025</t>
  </si>
  <si>
    <t>NCGL-070-1002258</t>
  </si>
  <si>
    <t>BDX PEMEX NCGL-070-1002258 REAS JUNIO 2026.xlsx / Carga B y P</t>
  </si>
  <si>
    <t>NCGL cerrado: el BDX trae el deducible vacío y la procesada queda en 0 (póliza activa); la manual no lo carga.</t>
  </si>
  <si>
    <t>3284/2024</t>
  </si>
  <si>
    <t>E01-2-60-000000010_0000-0-1</t>
  </si>
  <si>
    <t>Bordereaux_Seguros Atlas E01-2-60-10_ Junio 2026.xlsx / PMI</t>
  </si>
  <si>
    <t>RC Fletadores (Pemex) cerrado sin deducible: está en BDX y procesada con ceros; la manual no lo carga.</t>
  </si>
  <si>
    <t>B. BDX sin deducible en siniestros cerrados: -340,000 de Deductible (32 siniestros)</t>
  </si>
  <si>
    <t>El BDX de NCGL-070-1002258 deja el deducible vacío cuando el siniestro se cierra (los 51 cerrados lo traen vacío; los 140 abiertos o terminados traen 10,000). Como la póliza es activa, la procesada sigue al BDX y el siniestro cerrado queda en 0. De los 31 siniestros de NCGL de esta fila, 25 tenían 10,000 mientras estaban abiertos y 6 nunca tuvieron deducible en un BDX procesado; 6528/2023 (otra póliza activa) trae el BDX vacío desde 202509. La manual conserva 10,000 y 30,000, pero es inconsistente: deja en 0 a otros 6 iguales (ver 101461/2025). Decisión: se deja así.</t>
  </si>
  <si>
    <t>101630/2025</t>
  </si>
  <si>
    <t>Tenía 10,000 hasta 202509, cuando estaba abierto. Al cerrarse el BDX lo deja vacío: procesada 0, manual 10,000.</t>
  </si>
  <si>
    <t>101092/2025</t>
  </si>
  <si>
    <t>Nunca tuvo deducible en un BDX procesado (aparece en 202509 ya cerrado): procesada 0, manual 10,000.</t>
  </si>
  <si>
    <t>6528/2023</t>
  </si>
  <si>
    <t>Bordereaux_Seguros Atlas E01-2-60-10_ Junio 2026.xlsx / FERREO</t>
  </si>
  <si>
    <t>Póliza E01-2-60-000000010: BDX vacío desde 202509; la manual trae 30,000 sin origen conocido.</t>
  </si>
  <si>
    <t>101461/2025</t>
  </si>
  <si>
    <t>Contraste: mismo caso (BDX vacío, cerrado), pero aquí la manual también tiene 0, así que no hay diferencia. La manual no aplica una regla consistente.</t>
  </si>
  <si>
    <t>321361640000031: el BDX trae dos líneas de deducible (+2,500 de Deductible)</t>
  </si>
  <si>
    <t>En el BDX de Mapfre el siniestro aparece como la línea 16 y la línea 16.1 (continuación), cada una con deducible de 2,500. El notebook 1 suma las líneas de un mismo siniestro, así que la procesada queda con 5,000; la manual conserva solo una línea (2,500). No se sabe si el deducible de la línea extra es adicional o repetido. Es inmaterial; se deja así.</t>
  </si>
  <si>
    <t>321361640000031</t>
  </si>
  <si>
    <t>Procesada 5,000 (suma de las dos líneas) contra manual 2,500.</t>
  </si>
  <si>
    <t>Líneas crudas del BDX (hoja FletadoresRC PMI):</t>
  </si>
  <si>
    <t>#16</t>
  </si>
  <si>
    <t>Deducible</t>
  </si>
  <si>
    <t>#16.1</t>
  </si>
  <si>
    <t>(vacío: continuación)</t>
  </si>
  <si>
    <t>C. Gross Reserve de 323372640000025: error en la base manual (+13,506)</t>
  </si>
  <si>
    <t>El BDX de Mapfre trae 37,744.28 para este siniestro en todos los meses revisados y la base heredada también. En la manual, en cambio, el siniestro vecino 323372640000051 y este tienen el mismo Gross Reserve (24,238.78): parece una copia de la fila de al lado. No hay gastos outstanding para ninguno. Posible relación: en Payments (hoja CL) el pago del 323372640000051 trae Concat = 323372640000025CARGO. La procesada refleja el BDX; hay que revisar la manual. El OSLR queda en 0 en ambas.</t>
  </si>
  <si>
    <t>323372640000025</t>
  </si>
  <si>
    <t>P</t>
  </si>
  <si>
    <t>Bordereaux_Mapfre_Casco_Pandi_Transportes_21-23_JUNIO_2026.xlsx / Ferreo</t>
  </si>
  <si>
    <t>Procesada 37,744.28 (BDX). Manual 24,238.78: es el valor del siniestro vecino.</t>
  </si>
  <si>
    <t>323372640000051</t>
  </si>
  <si>
    <t>El vecino: BDX, manual y procesada coinciden en 24,238.78.</t>
  </si>
</sst>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#,##0;[Red]-#,##0"/>
  </numFmts>
  <fonts count="7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7562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0" fontId="5" fillId="4" borderId="1" xfId="0" applyFont="1" applyFill="1" applyBorder="1" applyAlignment="1">
      <alignment vertical="top" wrapText="1"/>
    </xf>
    <xf numFmtId="164" fontId="5" fillId="4" borderId="1" xfId="0" applyNumberFormat="1" applyFont="1" applyFill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6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70.7109375" customWidth="1"/>
    <col min="2" max="6" width="17.7109375" customWidth="1"/>
    <col min="7" max="7" width="3.7109375" customWidth="1"/>
  </cols>
  <sheetData>
    <row r="1" spans="1:6">
      <c r="A1" s="1" t="s">
        <v>0</v>
      </c>
    </row>
    <row r="2" spans="1:6" ht="32" customHeight="1">
      <c r="A2" s="2" t="s">
        <v>1</v>
      </c>
      <c r="B2" s="2"/>
      <c r="C2" s="2"/>
      <c r="D2" s="2"/>
      <c r="E2" s="2"/>
      <c r="F2" s="2"/>
    </row>
    <row r="4" spans="1:6">
      <c r="A4" s="3" t="s">
        <v>2</v>
      </c>
      <c r="B4" s="3"/>
      <c r="C4" s="3"/>
      <c r="D4" s="3"/>
      <c r="E4" s="3"/>
      <c r="F4" s="3"/>
    </row>
    <row r="5" spans="1:6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>
      <c r="A6" s="5" t="s">
        <v>9</v>
      </c>
      <c r="B6" s="6">
        <v>0</v>
      </c>
      <c r="C6" s="6">
        <v>0</v>
      </c>
      <c r="D6" s="6">
        <v>0</v>
      </c>
      <c r="E6" s="6">
        <v>0</v>
      </c>
      <c r="F6" s="6">
        <v>0</v>
      </c>
    </row>
    <row r="7" spans="1:6">
      <c r="A7" s="5" t="s">
        <v>10</v>
      </c>
      <c r="B7" s="6">
        <v>0.01</v>
      </c>
      <c r="C7" s="6">
        <v>0.01</v>
      </c>
      <c r="D7" s="6">
        <v>0.01</v>
      </c>
      <c r="E7" s="6">
        <v>0.01</v>
      </c>
      <c r="F7" s="6">
        <v>0.01</v>
      </c>
    </row>
    <row r="8" spans="1:6">
      <c r="A8" s="5" t="s">
        <v>11</v>
      </c>
      <c r="B8" s="6">
        <v>0.03</v>
      </c>
      <c r="C8" s="6">
        <v>0.03</v>
      </c>
      <c r="D8" s="6">
        <v>0.02</v>
      </c>
      <c r="E8" s="6">
        <v>0.02</v>
      </c>
      <c r="F8" s="6">
        <v>0.02</v>
      </c>
    </row>
    <row r="9" spans="1:6">
      <c r="A9" s="5" t="s">
        <v>12</v>
      </c>
      <c r="B9" s="6">
        <v>0.04</v>
      </c>
      <c r="C9" s="6">
        <v>0.05</v>
      </c>
      <c r="D9" s="6">
        <v>0.03</v>
      </c>
      <c r="E9" s="6">
        <v>0.04</v>
      </c>
      <c r="F9" s="6">
        <v>0.04</v>
      </c>
    </row>
    <row r="10" spans="1:6">
      <c r="A10" s="5" t="s">
        <v>13</v>
      </c>
      <c r="B10" s="6">
        <v>0.04</v>
      </c>
      <c r="C10" s="6">
        <v>0.04</v>
      </c>
      <c r="D10" s="6">
        <v>0.03</v>
      </c>
      <c r="E10" s="6">
        <v>0.03</v>
      </c>
      <c r="F10" s="6">
        <v>0.03</v>
      </c>
    </row>
    <row r="11" spans="1:6">
      <c r="A11" s="5" t="s">
        <v>14</v>
      </c>
      <c r="B11" s="6">
        <v>0</v>
      </c>
      <c r="C11" s="6">
        <v>-0</v>
      </c>
      <c r="D11" s="6">
        <v>0</v>
      </c>
      <c r="E11" s="6">
        <v>-0</v>
      </c>
      <c r="F11" s="6">
        <v>0</v>
      </c>
    </row>
    <row r="12" spans="1:6">
      <c r="A12" s="5" t="s">
        <v>15</v>
      </c>
      <c r="B12" s="6">
        <v>0.04</v>
      </c>
      <c r="C12" s="6">
        <v>0.04</v>
      </c>
      <c r="D12" s="6">
        <v>0.03</v>
      </c>
      <c r="E12" s="6">
        <v>0.04</v>
      </c>
      <c r="F12" s="6">
        <v>0.04</v>
      </c>
    </row>
    <row r="13" spans="1:6">
      <c r="A13" s="5" t="s">
        <v>16</v>
      </c>
      <c r="B13" s="6">
        <v>0.04</v>
      </c>
      <c r="C13" s="6">
        <v>0.04</v>
      </c>
      <c r="D13" s="6">
        <v>0.03</v>
      </c>
      <c r="E13" s="6">
        <v>0.03</v>
      </c>
      <c r="F13" s="6">
        <v>0.03</v>
      </c>
    </row>
    <row r="14" spans="1:6">
      <c r="A14" s="7" t="s">
        <v>17</v>
      </c>
      <c r="B14" s="8">
        <v>13506.33</v>
      </c>
      <c r="C14" s="8">
        <v>13506.33</v>
      </c>
      <c r="D14" s="8">
        <v>13506.33</v>
      </c>
      <c r="E14" s="8">
        <v>13506.36</v>
      </c>
      <c r="F14" s="8">
        <v>13506.36</v>
      </c>
    </row>
    <row r="15" spans="1:6">
      <c r="A15" s="7" t="s">
        <v>18</v>
      </c>
      <c r="B15" s="8">
        <v>1063500</v>
      </c>
      <c r="C15" s="8">
        <v>1023500</v>
      </c>
      <c r="D15" s="8">
        <v>993500</v>
      </c>
      <c r="E15" s="8">
        <v>913500</v>
      </c>
      <c r="F15" s="8">
        <v>813500</v>
      </c>
    </row>
    <row r="16" spans="1:6">
      <c r="A16" s="5" t="s">
        <v>19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</row>
    <row r="17" spans="1:6">
      <c r="A17" s="5" t="s">
        <v>20</v>
      </c>
      <c r="B17" s="9">
        <v>329</v>
      </c>
      <c r="C17" s="9">
        <v>332</v>
      </c>
      <c r="D17" s="9">
        <v>333</v>
      </c>
      <c r="E17" s="9">
        <v>340</v>
      </c>
      <c r="F17" s="9">
        <v>346</v>
      </c>
    </row>
    <row r="18" spans="1:6">
      <c r="A18" s="5" t="s">
        <v>21</v>
      </c>
      <c r="B18" s="9">
        <v>332</v>
      </c>
      <c r="C18" s="9">
        <v>335</v>
      </c>
      <c r="D18" s="9">
        <v>336</v>
      </c>
      <c r="E18" s="9">
        <v>343</v>
      </c>
      <c r="F18" s="9">
        <v>349</v>
      </c>
    </row>
    <row r="21" spans="1:6">
      <c r="A21" s="3" t="s">
        <v>22</v>
      </c>
      <c r="B21" s="3"/>
      <c r="C21" s="3"/>
      <c r="D21" s="3"/>
      <c r="E21" s="3"/>
      <c r="F21" s="3"/>
    </row>
    <row r="22" spans="1:6">
      <c r="A22" s="4" t="s">
        <v>23</v>
      </c>
      <c r="B22" s="4" t="s">
        <v>4</v>
      </c>
      <c r="C22" s="4" t="s">
        <v>5</v>
      </c>
      <c r="D22" s="4" t="s">
        <v>6</v>
      </c>
      <c r="E22" s="4" t="s">
        <v>7</v>
      </c>
      <c r="F22" s="4" t="s">
        <v>8</v>
      </c>
    </row>
    <row r="23" spans="1:6">
      <c r="A23" s="5" t="s">
        <v>24</v>
      </c>
      <c r="B23" s="6">
        <v>13505.5</v>
      </c>
      <c r="C23" s="6">
        <v>13505.5</v>
      </c>
      <c r="D23" s="6">
        <v>13505.5</v>
      </c>
      <c r="E23" s="6">
        <v>13505.5</v>
      </c>
      <c r="F23" s="6">
        <v>13505.5</v>
      </c>
    </row>
    <row r="24" spans="1:6">
      <c r="A24" s="5" t="s">
        <v>25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</row>
    <row r="25" spans="1:6">
      <c r="A25" s="5" t="s">
        <v>26</v>
      </c>
      <c r="B25" s="6">
        <v>0.83</v>
      </c>
      <c r="C25" s="6">
        <v>0.83</v>
      </c>
      <c r="D25" s="6">
        <v>0.83</v>
      </c>
      <c r="E25" s="6">
        <v>0.86</v>
      </c>
      <c r="F25" s="6">
        <v>0.86</v>
      </c>
    </row>
    <row r="26" spans="1:6">
      <c r="A26" s="7" t="s">
        <v>27</v>
      </c>
      <c r="B26" s="8">
        <f>SUM(B23:B25)</f>
        <v>0</v>
      </c>
      <c r="C26" s="8">
        <f>SUM(C23:C25)</f>
        <v>0</v>
      </c>
      <c r="D26" s="8">
        <f>SUM(D23:D25)</f>
        <v>0</v>
      </c>
      <c r="E26" s="8">
        <f>SUM(E23:E25)</f>
        <v>0</v>
      </c>
      <c r="F26" s="8">
        <f>SUM(F23:F25)</f>
        <v>0</v>
      </c>
    </row>
    <row r="27" spans="1:6">
      <c r="A27" s="5" t="s">
        <v>28</v>
      </c>
      <c r="B27" s="10">
        <f>IF(ABS(B26-B14)&lt;0.05,"OK","REVISAR")</f>
        <v>0</v>
      </c>
      <c r="C27" s="10">
        <f>IF(ABS(C26-C14)&lt;0.05,"OK","REVISAR")</f>
        <v>0</v>
      </c>
      <c r="D27" s="10">
        <f>IF(ABS(D26-D14)&lt;0.05,"OK","REVISAR")</f>
        <v>0</v>
      </c>
      <c r="E27" s="10">
        <f>IF(ABS(E26-E14)&lt;0.05,"OK","REVISAR")</f>
        <v>0</v>
      </c>
      <c r="F27" s="10">
        <f>IF(ABS(F26-F14)&lt;0.05,"OK","REVISAR")</f>
        <v>0</v>
      </c>
    </row>
    <row r="30" spans="1:6">
      <c r="A30" s="3" t="s">
        <v>29</v>
      </c>
      <c r="B30" s="3"/>
      <c r="C30" s="3"/>
      <c r="D30" s="3"/>
      <c r="E30" s="3"/>
      <c r="F30" s="3"/>
    </row>
    <row r="31" spans="1:6">
      <c r="A31" s="4" t="s">
        <v>23</v>
      </c>
      <c r="B31" s="4" t="s">
        <v>4</v>
      </c>
      <c r="C31" s="4" t="s">
        <v>5</v>
      </c>
      <c r="D31" s="4" t="s">
        <v>6</v>
      </c>
      <c r="E31" s="4" t="s">
        <v>7</v>
      </c>
      <c r="F31" s="4" t="s">
        <v>8</v>
      </c>
    </row>
    <row r="32" spans="1:6">
      <c r="A32" s="5" t="s">
        <v>30</v>
      </c>
      <c r="B32" s="6">
        <v>1151000</v>
      </c>
      <c r="C32" s="6">
        <v>1151000</v>
      </c>
      <c r="D32" s="6">
        <v>1151000</v>
      </c>
      <c r="E32" s="6">
        <v>1151000</v>
      </c>
      <c r="F32" s="6">
        <v>1151000</v>
      </c>
    </row>
    <row r="33" spans="1:6">
      <c r="A33" s="5" t="s">
        <v>31</v>
      </c>
      <c r="B33" s="6">
        <v>-90000</v>
      </c>
      <c r="C33" s="6">
        <v>-130000</v>
      </c>
      <c r="D33" s="6">
        <v>-160000</v>
      </c>
      <c r="E33" s="6">
        <v>-240000</v>
      </c>
      <c r="F33" s="6">
        <v>-340000</v>
      </c>
    </row>
    <row r="34" spans="1:6">
      <c r="A34" s="5" t="s">
        <v>32</v>
      </c>
      <c r="B34" s="6">
        <v>2500</v>
      </c>
      <c r="C34" s="6">
        <v>2500</v>
      </c>
      <c r="D34" s="6">
        <v>2500</v>
      </c>
      <c r="E34" s="6">
        <v>2500</v>
      </c>
      <c r="F34" s="6">
        <v>2500</v>
      </c>
    </row>
    <row r="35" spans="1:6">
      <c r="A35" s="5" t="s">
        <v>33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</row>
    <row r="36" spans="1:6">
      <c r="A36" s="7" t="s">
        <v>34</v>
      </c>
      <c r="B36" s="8">
        <f>SUM(B32:B35)</f>
        <v>0</v>
      </c>
      <c r="C36" s="8">
        <f>SUM(C32:C35)</f>
        <v>0</v>
      </c>
      <c r="D36" s="8">
        <f>SUM(D32:D35)</f>
        <v>0</v>
      </c>
      <c r="E36" s="8">
        <f>SUM(E32:E35)</f>
        <v>0</v>
      </c>
      <c r="F36" s="8">
        <f>SUM(F32:F35)</f>
        <v>0</v>
      </c>
    </row>
    <row r="37" spans="1:6">
      <c r="A37" s="5" t="s">
        <v>28</v>
      </c>
      <c r="B37" s="10">
        <f>IF(ABS(B36-B15)&lt;0.05,"OK","REVISAR")</f>
        <v>0</v>
      </c>
      <c r="C37" s="10">
        <f>IF(ABS(C36-C15)&lt;0.05,"OK","REVISAR")</f>
        <v>0</v>
      </c>
      <c r="D37" s="10">
        <f>IF(ABS(D36-D15)&lt;0.05,"OK","REVISAR")</f>
        <v>0</v>
      </c>
      <c r="E37" s="10">
        <f>IF(ABS(E36-E15)&lt;0.05,"OK","REVISAR")</f>
        <v>0</v>
      </c>
      <c r="F37" s="10">
        <f>IF(ABS(F36-F15)&lt;0.05,"OK","REVISAR")</f>
        <v>0</v>
      </c>
    </row>
    <row r="38" spans="1:6">
      <c r="A38" s="5" t="s">
        <v>35</v>
      </c>
      <c r="B38" s="11" t="s">
        <v>36</v>
      </c>
      <c r="C38" s="11" t="s">
        <v>37</v>
      </c>
      <c r="D38" s="11" t="s">
        <v>38</v>
      </c>
      <c r="E38" s="11" t="s">
        <v>39</v>
      </c>
      <c r="F38" s="11" t="s">
        <v>40</v>
      </c>
    </row>
    <row r="40" spans="1:6" ht="32" customHeight="1">
      <c r="A40" s="2" t="s">
        <v>41</v>
      </c>
      <c r="B40" s="2"/>
      <c r="C40" s="2"/>
      <c r="D40" s="2"/>
      <c r="E40" s="2"/>
      <c r="F40" s="2"/>
    </row>
  </sheetData>
  <mergeCells count="5">
    <mergeCell ref="A2:F2"/>
    <mergeCell ref="A4:F4"/>
    <mergeCell ref="A21:F21"/>
    <mergeCell ref="A30:F30"/>
    <mergeCell ref="A40:F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2" width="24.7109375" customWidth="1"/>
    <col min="3" max="3" width="9.7109375" customWidth="1"/>
    <col min="4" max="5" width="14.7109375" customWidth="1"/>
    <col min="6" max="6" width="44.7109375" customWidth="1"/>
    <col min="7" max="10" width="14.7109375" customWidth="1"/>
    <col min="11" max="11" width="54.7109375" customWidth="1"/>
  </cols>
  <sheetData>
    <row r="1" spans="1:11">
      <c r="A1" s="1" t="s">
        <v>42</v>
      </c>
    </row>
    <row r="2" spans="1:11" ht="32" customHeight="1">
      <c r="A2" s="2" t="s">
        <v>43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>
      <c r="A4" s="3" t="s">
        <v>44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36" customHeight="1">
      <c r="A5" s="12" t="s">
        <v>45</v>
      </c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1" ht="32" customHeight="1">
      <c r="A6" s="4" t="s">
        <v>46</v>
      </c>
      <c r="B6" s="4" t="s">
        <v>47</v>
      </c>
      <c r="C6" s="4" t="s">
        <v>48</v>
      </c>
      <c r="D6" s="4" t="s">
        <v>49</v>
      </c>
      <c r="E6" s="4" t="s">
        <v>50</v>
      </c>
      <c r="F6" s="4" t="s">
        <v>51</v>
      </c>
      <c r="G6" s="4" t="s">
        <v>52</v>
      </c>
      <c r="H6" s="4" t="s">
        <v>53</v>
      </c>
      <c r="I6" s="4" t="s">
        <v>54</v>
      </c>
      <c r="J6" s="4" t="s">
        <v>55</v>
      </c>
      <c r="K6" s="4" t="s">
        <v>56</v>
      </c>
    </row>
    <row r="7" spans="1:11" ht="48" customHeight="1">
      <c r="A7" s="5" t="s">
        <v>57</v>
      </c>
      <c r="B7" s="5" t="s">
        <v>58</v>
      </c>
      <c r="C7" s="11" t="s">
        <v>59</v>
      </c>
      <c r="D7" s="5" t="s">
        <v>60</v>
      </c>
      <c r="E7" s="6">
        <v>200000</v>
      </c>
      <c r="F7" s="5" t="s">
        <v>61</v>
      </c>
      <c r="G7" s="5" t="s">
        <v>62</v>
      </c>
      <c r="H7" s="5" t="s">
        <v>62</v>
      </c>
      <c r="I7" s="6">
        <v>0</v>
      </c>
      <c r="J7" s="6">
        <v>200000</v>
      </c>
      <c r="K7" s="5" t="s">
        <v>63</v>
      </c>
    </row>
    <row r="8" spans="1:11" ht="48" customHeight="1">
      <c r="A8" s="5" t="s">
        <v>64</v>
      </c>
      <c r="B8" s="5" t="s">
        <v>65</v>
      </c>
      <c r="C8" s="11" t="s">
        <v>59</v>
      </c>
      <c r="D8" s="5" t="s">
        <v>60</v>
      </c>
      <c r="E8" s="6">
        <v>2500</v>
      </c>
      <c r="F8" s="5" t="s">
        <v>66</v>
      </c>
      <c r="G8" s="5" t="s">
        <v>62</v>
      </c>
      <c r="H8" s="5" t="s">
        <v>62</v>
      </c>
      <c r="I8" s="6">
        <v>0</v>
      </c>
      <c r="J8" s="6">
        <v>2500</v>
      </c>
      <c r="K8" s="5" t="s">
        <v>67</v>
      </c>
    </row>
    <row r="9" spans="1:11" ht="48" customHeight="1">
      <c r="A9" s="5" t="s">
        <v>68</v>
      </c>
      <c r="B9" s="5" t="s">
        <v>69</v>
      </c>
      <c r="C9" s="11" t="s">
        <v>59</v>
      </c>
      <c r="D9" s="5" t="s">
        <v>60</v>
      </c>
      <c r="E9" s="5" t="s">
        <v>60</v>
      </c>
      <c r="F9" s="5" t="s">
        <v>70</v>
      </c>
      <c r="G9" s="5" t="s">
        <v>62</v>
      </c>
      <c r="H9" s="5" t="s">
        <v>62</v>
      </c>
      <c r="I9" s="6">
        <v>0</v>
      </c>
      <c r="J9" s="6">
        <v>0</v>
      </c>
      <c r="K9" s="5" t="s">
        <v>71</v>
      </c>
    </row>
    <row r="10" spans="1:11" ht="48" customHeight="1">
      <c r="A10" s="5" t="s">
        <v>72</v>
      </c>
      <c r="B10" s="5" t="s">
        <v>73</v>
      </c>
      <c r="C10" s="11" t="s">
        <v>59</v>
      </c>
      <c r="D10" s="5" t="s">
        <v>60</v>
      </c>
      <c r="E10" s="5" t="s">
        <v>60</v>
      </c>
      <c r="F10" s="5" t="s">
        <v>74</v>
      </c>
      <c r="G10" s="5" t="s">
        <v>62</v>
      </c>
      <c r="H10" s="5" t="s">
        <v>62</v>
      </c>
      <c r="I10" s="6">
        <v>0</v>
      </c>
      <c r="J10" s="6">
        <v>0</v>
      </c>
      <c r="K10" s="5" t="s">
        <v>75</v>
      </c>
    </row>
    <row r="12" spans="1:11">
      <c r="A12" s="3" t="s">
        <v>76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66" customHeight="1">
      <c r="A13" s="12" t="s">
        <v>77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spans="1:11" ht="32" customHeight="1">
      <c r="A14" s="4" t="s">
        <v>46</v>
      </c>
      <c r="B14" s="4" t="s">
        <v>47</v>
      </c>
      <c r="C14" s="4" t="s">
        <v>48</v>
      </c>
      <c r="D14" s="4" t="s">
        <v>49</v>
      </c>
      <c r="E14" s="4" t="s">
        <v>50</v>
      </c>
      <c r="F14" s="4" t="s">
        <v>51</v>
      </c>
      <c r="G14" s="4" t="s">
        <v>52</v>
      </c>
      <c r="H14" s="4" t="s">
        <v>53</v>
      </c>
      <c r="I14" s="4" t="s">
        <v>54</v>
      </c>
      <c r="J14" s="4" t="s">
        <v>55</v>
      </c>
      <c r="K14" s="4" t="s">
        <v>56</v>
      </c>
    </row>
    <row r="15" spans="1:11" ht="48" customHeight="1">
      <c r="A15" s="5" t="s">
        <v>78</v>
      </c>
      <c r="B15" s="5" t="s">
        <v>69</v>
      </c>
      <c r="C15" s="11" t="s">
        <v>59</v>
      </c>
      <c r="D15" s="5" t="s">
        <v>60</v>
      </c>
      <c r="E15" s="5" t="s">
        <v>60</v>
      </c>
      <c r="F15" s="5" t="s">
        <v>70</v>
      </c>
      <c r="G15" s="6">
        <v>0</v>
      </c>
      <c r="H15" s="6">
        <v>10000</v>
      </c>
      <c r="I15" s="6">
        <v>0</v>
      </c>
      <c r="J15" s="6">
        <v>0</v>
      </c>
      <c r="K15" s="5" t="s">
        <v>79</v>
      </c>
    </row>
    <row r="16" spans="1:11" ht="48" customHeight="1">
      <c r="A16" s="5" t="s">
        <v>80</v>
      </c>
      <c r="B16" s="5" t="s">
        <v>69</v>
      </c>
      <c r="C16" s="11" t="s">
        <v>59</v>
      </c>
      <c r="D16" s="5" t="s">
        <v>60</v>
      </c>
      <c r="E16" s="5" t="s">
        <v>60</v>
      </c>
      <c r="F16" s="5" t="s">
        <v>70</v>
      </c>
      <c r="G16" s="6">
        <v>0</v>
      </c>
      <c r="H16" s="6">
        <v>10000</v>
      </c>
      <c r="I16" s="6">
        <v>0</v>
      </c>
      <c r="J16" s="6">
        <v>0</v>
      </c>
      <c r="K16" s="5" t="s">
        <v>81</v>
      </c>
    </row>
    <row r="17" spans="1:11" ht="48" customHeight="1">
      <c r="A17" s="5" t="s">
        <v>82</v>
      </c>
      <c r="B17" s="5" t="s">
        <v>73</v>
      </c>
      <c r="C17" s="11" t="s">
        <v>59</v>
      </c>
      <c r="D17" s="5" t="s">
        <v>60</v>
      </c>
      <c r="E17" s="5" t="s">
        <v>60</v>
      </c>
      <c r="F17" s="5" t="s">
        <v>83</v>
      </c>
      <c r="G17" s="6">
        <v>0</v>
      </c>
      <c r="H17" s="6">
        <v>30000</v>
      </c>
      <c r="I17" s="6">
        <v>0</v>
      </c>
      <c r="J17" s="6">
        <v>0</v>
      </c>
      <c r="K17" s="5" t="s">
        <v>84</v>
      </c>
    </row>
    <row r="18" spans="1:11" ht="48" customHeight="1">
      <c r="A18" s="5" t="s">
        <v>85</v>
      </c>
      <c r="B18" s="5" t="s">
        <v>69</v>
      </c>
      <c r="C18" s="11" t="s">
        <v>59</v>
      </c>
      <c r="D18" s="5" t="s">
        <v>60</v>
      </c>
      <c r="E18" s="5" t="s">
        <v>60</v>
      </c>
      <c r="F18" s="5" t="s">
        <v>70</v>
      </c>
      <c r="G18" s="6">
        <v>0</v>
      </c>
      <c r="H18" s="6">
        <v>0</v>
      </c>
      <c r="I18" s="6">
        <v>0</v>
      </c>
      <c r="J18" s="6">
        <v>0</v>
      </c>
      <c r="K18" s="5" t="s">
        <v>86</v>
      </c>
    </row>
    <row r="20" spans="1:11">
      <c r="A20" s="3" t="s">
        <v>87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36" customHeight="1">
      <c r="A21" s="12" t="s">
        <v>88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1" ht="32" customHeight="1">
      <c r="A22" s="4" t="s">
        <v>46</v>
      </c>
      <c r="B22" s="4" t="s">
        <v>47</v>
      </c>
      <c r="C22" s="4" t="s">
        <v>48</v>
      </c>
      <c r="D22" s="4" t="s">
        <v>49</v>
      </c>
      <c r="E22" s="4" t="s">
        <v>50</v>
      </c>
      <c r="F22" s="4" t="s">
        <v>51</v>
      </c>
      <c r="G22" s="4" t="s">
        <v>52</v>
      </c>
      <c r="H22" s="4" t="s">
        <v>53</v>
      </c>
      <c r="I22" s="4" t="s">
        <v>54</v>
      </c>
      <c r="J22" s="4" t="s">
        <v>55</v>
      </c>
      <c r="K22" s="4" t="s">
        <v>56</v>
      </c>
    </row>
    <row r="23" spans="1:11" ht="48" customHeight="1">
      <c r="A23" s="5" t="s">
        <v>89</v>
      </c>
      <c r="B23" s="5" t="s">
        <v>65</v>
      </c>
      <c r="C23" s="11" t="s">
        <v>59</v>
      </c>
      <c r="D23" s="5" t="s">
        <v>60</v>
      </c>
      <c r="E23" s="6">
        <v>5000</v>
      </c>
      <c r="F23" s="5" t="s">
        <v>66</v>
      </c>
      <c r="G23" s="6">
        <v>0</v>
      </c>
      <c r="H23" s="6">
        <v>2500</v>
      </c>
      <c r="I23" s="6">
        <v>0</v>
      </c>
      <c r="J23" s="6">
        <v>5000</v>
      </c>
      <c r="K23" s="5" t="s">
        <v>90</v>
      </c>
    </row>
    <row r="24" spans="1:11">
      <c r="A24" s="13" t="s">
        <v>91</v>
      </c>
    </row>
    <row r="25" spans="1:11">
      <c r="A25" s="5" t="s">
        <v>92</v>
      </c>
      <c r="B25" s="5" t="s">
        <v>89</v>
      </c>
      <c r="C25" s="5" t="s">
        <v>93</v>
      </c>
      <c r="D25" s="6">
        <v>2500</v>
      </c>
    </row>
    <row r="26" spans="1:11">
      <c r="A26" s="5" t="s">
        <v>94</v>
      </c>
      <c r="B26" s="5" t="s">
        <v>95</v>
      </c>
      <c r="C26" s="5" t="s">
        <v>93</v>
      </c>
      <c r="D26" s="6">
        <v>2500</v>
      </c>
    </row>
    <row r="29" spans="1:11">
      <c r="A29" s="3" t="s">
        <v>96</v>
      </c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51" customHeight="1">
      <c r="A30" s="12" t="s">
        <v>97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ht="32" customHeight="1">
      <c r="A31" s="4" t="s">
        <v>46</v>
      </c>
      <c r="B31" s="4" t="s">
        <v>47</v>
      </c>
      <c r="C31" s="4" t="s">
        <v>48</v>
      </c>
      <c r="D31" s="4" t="s">
        <v>49</v>
      </c>
      <c r="E31" s="4" t="s">
        <v>50</v>
      </c>
      <c r="F31" s="4" t="s">
        <v>51</v>
      </c>
      <c r="G31" s="4" t="s">
        <v>52</v>
      </c>
      <c r="H31" s="4" t="s">
        <v>53</v>
      </c>
      <c r="I31" s="4" t="s">
        <v>54</v>
      </c>
      <c r="J31" s="4" t="s">
        <v>55</v>
      </c>
      <c r="K31" s="4" t="s">
        <v>56</v>
      </c>
    </row>
    <row r="32" spans="1:11" ht="48" customHeight="1">
      <c r="A32" s="5" t="s">
        <v>98</v>
      </c>
      <c r="B32" s="5" t="s">
        <v>65</v>
      </c>
      <c r="C32" s="11" t="s">
        <v>99</v>
      </c>
      <c r="D32" s="6">
        <v>37744.28</v>
      </c>
      <c r="E32" s="6">
        <v>5000</v>
      </c>
      <c r="F32" s="5" t="s">
        <v>100</v>
      </c>
      <c r="G32" s="6">
        <v>24238.78</v>
      </c>
      <c r="H32" s="6">
        <v>5000</v>
      </c>
      <c r="I32" s="6">
        <v>37744.28</v>
      </c>
      <c r="J32" s="6">
        <v>5000</v>
      </c>
      <c r="K32" s="5" t="s">
        <v>101</v>
      </c>
    </row>
    <row r="33" spans="1:11" ht="48" customHeight="1">
      <c r="A33" s="5" t="s">
        <v>102</v>
      </c>
      <c r="B33" s="5" t="s">
        <v>65</v>
      </c>
      <c r="C33" s="11" t="s">
        <v>99</v>
      </c>
      <c r="D33" s="6">
        <v>24238.78</v>
      </c>
      <c r="E33" s="6">
        <v>5000</v>
      </c>
      <c r="F33" s="5" t="s">
        <v>100</v>
      </c>
      <c r="G33" s="6">
        <v>24238.78</v>
      </c>
      <c r="H33" s="6">
        <v>5000</v>
      </c>
      <c r="I33" s="6">
        <v>24238.78</v>
      </c>
      <c r="J33" s="6">
        <v>5000</v>
      </c>
      <c r="K33" s="5" t="s">
        <v>103</v>
      </c>
    </row>
  </sheetData>
  <mergeCells count="9">
    <mergeCell ref="A2:K2"/>
    <mergeCell ref="A4:K4"/>
    <mergeCell ref="A5:K5"/>
    <mergeCell ref="A12:K12"/>
    <mergeCell ref="A13:K13"/>
    <mergeCell ref="A20:K20"/>
    <mergeCell ref="A21:K21"/>
    <mergeCell ref="A29:K29"/>
    <mergeCell ref="A30:K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Diferencias por periodo</vt:lpstr>
      <vt:lpstr>Por qué y ejemplos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2026-10-09T00:24:29Z</dcterms:created>
  <dcterms:modified xsi:type="dcterms:W3CDTF">2026-10-09T00:24:29Z</dcterms:modified>
</cp:coreProperties>
</file>