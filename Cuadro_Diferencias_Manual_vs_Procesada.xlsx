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adro de cierre" sheetId="1" r:id="rId1"/>
    <sheet name="Detalle por póliza 202606" sheetId="2" r:id="rId2"/>
  </sheets>
  <calcPr calcId="124519" fullCalcOnLoad="1"/>
</workbook>
</file>

<file path=xl/sharedStrings.xml><?xml version="1.0" encoding="utf-8"?>
<sst xmlns="http://schemas.openxmlformats.org/spreadsheetml/2006/main" count="137" uniqueCount="98">
  <si>
    <t>Diferencia entre la base manual y la procesada: cómo empezó y cómo quedó</t>
  </si>
  <si>
    <t>Diferencia = Procesada − Manual, en USD. Cinco periodos con base manual: 202509, 202510, 202512, 202604 y 202606. El OSLR coincide en todas las etapas (diferencias de centavos), por eso el cuadro se centra en Gross Reserve y Deductible. n/d: no hay respaldo de esa etapa para ese periodo.</t>
  </si>
  <si>
    <t>1. Evolución de la diferencia en GROSS RESERVE</t>
  </si>
  <si>
    <t>Etapa</t>
  </si>
  <si>
    <t>Descripción</t>
  </si>
  <si>
    <t>202509</t>
  </si>
  <si>
    <t>202510</t>
  </si>
  <si>
    <t>202512</t>
  </si>
  <si>
    <t>202604</t>
  </si>
  <si>
    <t>202606</t>
  </si>
  <si>
    <t>Qué cambió en esta etapa</t>
  </si>
  <si>
    <t>A</t>
  </si>
  <si>
    <t>Corrida original (respaldo 02-oct)</t>
  </si>
  <si>
    <t>n/d</t>
  </si>
  <si>
    <t>Punto de partida: las pólizas legacy (sin BDX nuevo) traían reservas y deducibles distintos a la referencia fija.</t>
  </si>
  <si>
    <t>B</t>
  </si>
  <si>
    <t>Tras la primera restauración de legacy (respaldo 05-oct)</t>
  </si>
  <si>
    <t>Primera restauración de las pólizas legacy contra REF_LEGACY_202509 (13637426, 147736177, 38417374), con guardias y aislamiento de legacy en nb4.</t>
  </si>
  <si>
    <t>C</t>
  </si>
  <si>
    <t>Inicio de esta sesión (legacy restaurado)</t>
  </si>
  <si>
    <t>Segunda restauración (05-oct): se agregó 90600 320575 a LIST_LEGACY y se restauró su info.</t>
  </si>
  <si>
    <t>D</t>
  </si>
  <si>
    <t>Tras corregir el colapso de reserva (nb4)</t>
  </si>
  <si>
    <t>nb4 ahora suma GROSS RESERVE/DEDUCTIBLE al fusionar filas del mismo KEY LOB + auditoría (siniestro 322361640000001: 736,500).</t>
  </si>
  <si>
    <t>E</t>
  </si>
  <si>
    <t>Tras conservar el deducible histórico (nb2)</t>
  </si>
  <si>
    <t>nb2 conserva el deducible del mes anterior si el BDX no lo trae y la reserva es 0 (5.0M de 351003070073 y cerrados) + caso 101956/2026.</t>
  </si>
  <si>
    <t>F</t>
  </si>
  <si>
    <t>Actual (import de BDX corregido en nb1)</t>
  </si>
  <si>
    <t>nb1 ya no fusiona filas con # vacío pero reclamo propio: 5424/2023 vuelve a 10,000 (antes absorbía 8 reclamos de 2024).</t>
  </si>
  <si>
    <t>2. Evolución de la diferencia en DEDUCTIBLE</t>
  </si>
  <si>
    <t>3. Qué se hizo y cuánto movió cada paso (periodo 202606)</t>
  </si>
  <si>
    <t>#</t>
  </si>
  <si>
    <t>Acción</t>
  </si>
  <si>
    <t>Δ GROSS RESERVE</t>
  </si>
  <si>
    <t>Δ DEDUCTIBLE</t>
  </si>
  <si>
    <t>Dónde</t>
  </si>
  <si>
    <t>Dónde / evidencia</t>
  </si>
  <si>
    <t>1</t>
  </si>
  <si>
    <t>Primera restauración de legacy contra la referencia fija (REF_LEGACY_202509) y guardias en nb1/nb2/nb4</t>
  </si>
  <si>
    <t>Pólizas 13637426, 147736177 y 38417374 quedan en 0. Herramientas en commit 399a6e3 y restaurar_legacy_desde_referencia.py.</t>
  </si>
  <si>
    <t>2</t>
  </si>
  <si>
    <t>Agregar la póliza 90600 320575 a LIST_LEGACY y restaurarla</t>
  </si>
  <si>
    <t>Diccionarios/config_marine.py (LIST_LEGACY) y corridas del 05-oct. Incluye otros efectos de la re-corrida.</t>
  </si>
  <si>
    <t>3</t>
  </si>
  <si>
    <t>Sumar GROSS RESERVE/DEDUCTIBLE al fusionar filas del mismo KEY LOB (nb4) y auditar que no se pierdan</t>
  </si>
  <si>
    <t>nb4 celda 20. Siniestro 322361640000001 (736,500). Commit 9f02b17.</t>
  </si>
  <si>
    <t>4</t>
  </si>
  <si>
    <t>Conservar el deducible histórico si el BDX no lo trae y la reserva es 0 (nb2 sección 6 y celda 17)</t>
  </si>
  <si>
    <t>nb2 celdas 16 y 17. Recupera 5.0M de 351003070073, siniestros cerrados y 101956/2026. La parte de la celda 17 aún sin commit.</t>
  </si>
  <si>
    <t>5</t>
  </si>
  <si>
    <t>No fusionar en nb1 las filas con # vacío pero número de reclamo propio (BDX Atlas, hoja D Y V)</t>
  </si>
  <si>
    <t>nb1 celda 10 (import_format). 5424/2023 absorbía 8 reclamos de 2024 y quedaba con 90,000 de deducible en vez de 10,000. Sin commit.</t>
  </si>
  <si>
    <t>Total movido desde el punto de partida</t>
  </si>
  <si>
    <t>4. Lo que queda en 202606 y por qué se deja así</t>
  </si>
  <si>
    <t>Concepto</t>
  </si>
  <si>
    <t>GROSS RESERVE</t>
  </si>
  <si>
    <t>DEDUCTIBLE</t>
  </si>
  <si>
    <t>Por qué</t>
  </si>
  <si>
    <t>a</t>
  </si>
  <si>
    <t>Siniestros solo en la procesada (350; 179 con deducible)</t>
  </si>
  <si>
    <t>Cerrados o terminados con todos los montos en 0. La manual no los carga; la procesada conserva lo que trae el BDX. Se deja así (decisión del usuario).</t>
  </si>
  <si>
    <t>b</t>
  </si>
  <si>
    <t>321361640000031</t>
  </si>
  <si>
    <t>El BDX trae dos líneas (16 y 16.1) con 2,500 cada una y el pipeline las suma (5,000); la manual conserva una sola. Criterio, inmaterial. Se deja así.</t>
  </si>
  <si>
    <t>c</t>
  </si>
  <si>
    <t>6528/2023 (E01-2-60-000000010_0000-0-1)</t>
  </si>
  <si>
    <t>BDX vacío desde 202509 y sin historial; la manual tiene 30,000 sin respaldo que se encuentre. Se deja así.</t>
  </si>
  <si>
    <t>d</t>
  </si>
  <si>
    <t>6 siniestros cerrados de NCGL-070-1002258</t>
  </si>
  <si>
    <t>El BDX nunca trajo deducible; la manual pone 10,000 (parece el estándar de la póliza). Pendiente de confirmar si se aplica ese valor.</t>
  </si>
  <si>
    <t>e</t>
  </si>
  <si>
    <t>323372640000025</t>
  </si>
  <si>
    <t>La manual repite el Gross Reserve del siniestro vecino 323372640000051 (24,238.78 en vez de 37,744.28 del BDX). Error en la manual, no en el pipeline.</t>
  </si>
  <si>
    <t>Diferencia total (Procesada − Manual)</t>
  </si>
  <si>
    <t>Equivale a 0.01% del Gross Reserve y 1.7% del Deductible de la manual. OSLR: sin diferencia.</t>
  </si>
  <si>
    <t>Póliza</t>
  </si>
  <si>
    <t>GR A</t>
  </si>
  <si>
    <t>DED A</t>
  </si>
  <si>
    <t>GR B</t>
  </si>
  <si>
    <t>DED B</t>
  </si>
  <si>
    <t>GR C</t>
  </si>
  <si>
    <t>DED C</t>
  </si>
  <si>
    <t>GR F</t>
  </si>
  <si>
    <t>DED F</t>
  </si>
  <si>
    <t>13637426</t>
  </si>
  <si>
    <t>147736177</t>
  </si>
  <si>
    <t>25200 30002933</t>
  </si>
  <si>
    <t>25200 30006350</t>
  </si>
  <si>
    <t>25300 30011610</t>
  </si>
  <si>
    <t>25300 30014476</t>
  </si>
  <si>
    <t>3612100000008</t>
  </si>
  <si>
    <t>38417374</t>
  </si>
  <si>
    <t>90600 320575</t>
  </si>
  <si>
    <t>E01-2-60-000000003_0000-0-1</t>
  </si>
  <si>
    <t>E01-2-60-000000010_0000-0-1</t>
  </si>
  <si>
    <t>NCGL-070-1002258</t>
  </si>
  <si>
    <t>Diferencia Procesada − Manual por póliza en 202606. A: corrida original, B: tras la primera restauración de legacy, C: inicio de esta sesión, F: actual.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</si>
</sst>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7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0" fontId="6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46.7109375" customWidth="1"/>
    <col min="3" max="7" width="16.7109375" customWidth="1"/>
    <col min="8" max="8" width="60.7109375" customWidth="1"/>
  </cols>
  <sheetData>
    <row r="1" spans="1:8">
      <c r="A1" s="1" t="s">
        <v>0</v>
      </c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32" customHeight="1">
      <c r="A6" s="5" t="s">
        <v>11</v>
      </c>
      <c r="B6" s="5" t="s">
        <v>12</v>
      </c>
      <c r="C6" s="6" t="s">
        <v>13</v>
      </c>
      <c r="D6" s="6" t="s">
        <v>13</v>
      </c>
      <c r="E6" s="7">
        <v>-34897142.93</v>
      </c>
      <c r="F6" s="7">
        <v>-38913219.21</v>
      </c>
      <c r="G6" s="7">
        <v>-38913219.21</v>
      </c>
      <c r="H6" s="5" t="s">
        <v>14</v>
      </c>
    </row>
    <row r="7" spans="1:8" ht="32" customHeight="1">
      <c r="A7" s="5" t="s">
        <v>15</v>
      </c>
      <c r="B7" s="5" t="s">
        <v>16</v>
      </c>
      <c r="C7" s="7">
        <v>-3084903.23</v>
      </c>
      <c r="D7" s="7">
        <v>-3084903.23</v>
      </c>
      <c r="E7" s="7">
        <v>-3084903.23</v>
      </c>
      <c r="F7" s="7">
        <v>-3084903.2</v>
      </c>
      <c r="G7" s="7">
        <v>-3084903.2</v>
      </c>
      <c r="H7" s="5" t="s">
        <v>17</v>
      </c>
    </row>
    <row r="8" spans="1:8" ht="32" customHeight="1">
      <c r="A8" s="5" t="s">
        <v>18</v>
      </c>
      <c r="B8" s="5" t="s">
        <v>19</v>
      </c>
      <c r="C8" s="7">
        <v>-722993.67</v>
      </c>
      <c r="D8" s="7">
        <v>-722993.67</v>
      </c>
      <c r="E8" s="7">
        <v>-722993.67</v>
      </c>
      <c r="F8" s="7">
        <v>-722993.64</v>
      </c>
      <c r="G8" s="7">
        <v>-722993.64</v>
      </c>
      <c r="H8" s="5" t="s">
        <v>20</v>
      </c>
    </row>
    <row r="9" spans="1:8" ht="32" customHeight="1">
      <c r="A9" s="5" t="s">
        <v>21</v>
      </c>
      <c r="B9" s="5" t="s">
        <v>22</v>
      </c>
      <c r="C9" s="7">
        <v>13506.33</v>
      </c>
      <c r="D9" s="7">
        <v>13506.33</v>
      </c>
      <c r="E9" s="7">
        <v>13506.33</v>
      </c>
      <c r="F9" s="7">
        <v>13506.36</v>
      </c>
      <c r="G9" s="7">
        <v>13506.36</v>
      </c>
      <c r="H9" s="5" t="s">
        <v>23</v>
      </c>
    </row>
    <row r="10" spans="1:8" ht="32" customHeight="1">
      <c r="A10" s="5" t="s">
        <v>24</v>
      </c>
      <c r="B10" s="5" t="s">
        <v>25</v>
      </c>
      <c r="C10" s="7">
        <v>13506.33</v>
      </c>
      <c r="D10" s="7">
        <v>13506.33</v>
      </c>
      <c r="E10" s="7">
        <v>13506.33</v>
      </c>
      <c r="F10" s="7">
        <v>13506.36</v>
      </c>
      <c r="G10" s="7">
        <v>13506.36</v>
      </c>
      <c r="H10" s="5" t="s">
        <v>26</v>
      </c>
    </row>
    <row r="11" spans="1:8" ht="32" customHeight="1">
      <c r="A11" s="8" t="s">
        <v>27</v>
      </c>
      <c r="B11" s="8" t="s">
        <v>28</v>
      </c>
      <c r="C11" s="9">
        <v>13506.33</v>
      </c>
      <c r="D11" s="9">
        <v>13506.33</v>
      </c>
      <c r="E11" s="9">
        <v>13506.33</v>
      </c>
      <c r="F11" s="9">
        <v>13506.36</v>
      </c>
      <c r="G11" s="9">
        <v>13506.36</v>
      </c>
      <c r="H11" s="8" t="s">
        <v>29</v>
      </c>
    </row>
    <row r="13" spans="1:8">
      <c r="A13" s="3" t="s">
        <v>30</v>
      </c>
      <c r="B13" s="3"/>
      <c r="C13" s="3"/>
      <c r="D13" s="3"/>
      <c r="E13" s="3"/>
      <c r="F13" s="3"/>
      <c r="G13" s="3"/>
      <c r="H13" s="3"/>
    </row>
    <row r="14" spans="1:8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</row>
    <row r="15" spans="1:8" ht="32" customHeight="1">
      <c r="A15" s="5" t="s">
        <v>11</v>
      </c>
      <c r="B15" s="5" t="s">
        <v>12</v>
      </c>
      <c r="C15" s="6" t="s">
        <v>13</v>
      </c>
      <c r="D15" s="6" t="s">
        <v>13</v>
      </c>
      <c r="E15" s="7">
        <v>-26544599.09</v>
      </c>
      <c r="F15" s="7">
        <v>-26942099.09</v>
      </c>
      <c r="G15" s="7">
        <v>-27042099.09</v>
      </c>
      <c r="H15" s="5" t="s">
        <v>14</v>
      </c>
    </row>
    <row r="16" spans="1:8" ht="32" customHeight="1">
      <c r="A16" s="5" t="s">
        <v>15</v>
      </c>
      <c r="B16" s="5" t="s">
        <v>16</v>
      </c>
      <c r="C16" s="7">
        <v>-5503790</v>
      </c>
      <c r="D16" s="7">
        <v>-5543790</v>
      </c>
      <c r="E16" s="7">
        <v>-5573790</v>
      </c>
      <c r="F16" s="7">
        <v>-5653790</v>
      </c>
      <c r="G16" s="7">
        <v>-5753790</v>
      </c>
      <c r="H16" s="5" t="s">
        <v>17</v>
      </c>
    </row>
    <row r="17" spans="1:8" ht="32" customHeight="1">
      <c r="A17" s="5" t="s">
        <v>18</v>
      </c>
      <c r="B17" s="5" t="s">
        <v>19</v>
      </c>
      <c r="C17" s="7">
        <v>-3936500</v>
      </c>
      <c r="D17" s="7">
        <v>-3976500</v>
      </c>
      <c r="E17" s="7">
        <v>-4006500</v>
      </c>
      <c r="F17" s="7">
        <v>-4086500</v>
      </c>
      <c r="G17" s="7">
        <v>-4186500</v>
      </c>
      <c r="H17" s="5" t="s">
        <v>20</v>
      </c>
    </row>
    <row r="18" spans="1:8" ht="32" customHeight="1">
      <c r="A18" s="5" t="s">
        <v>21</v>
      </c>
      <c r="B18" s="5" t="s">
        <v>22</v>
      </c>
      <c r="C18" s="7">
        <v>-3936500</v>
      </c>
      <c r="D18" s="7">
        <v>-3976500</v>
      </c>
      <c r="E18" s="7">
        <v>-4006500</v>
      </c>
      <c r="F18" s="7">
        <v>-4086500</v>
      </c>
      <c r="G18" s="7">
        <v>-4186500</v>
      </c>
      <c r="H18" s="5" t="s">
        <v>23</v>
      </c>
    </row>
    <row r="19" spans="1:8" ht="32" customHeight="1">
      <c r="A19" s="5" t="s">
        <v>24</v>
      </c>
      <c r="B19" s="5" t="s">
        <v>25</v>
      </c>
      <c r="C19" s="7">
        <v>1083500</v>
      </c>
      <c r="D19" s="7">
        <v>1193500</v>
      </c>
      <c r="E19" s="7">
        <v>1193500</v>
      </c>
      <c r="F19" s="7">
        <v>1193500</v>
      </c>
      <c r="G19" s="7">
        <v>1193500</v>
      </c>
      <c r="H19" s="5" t="s">
        <v>26</v>
      </c>
    </row>
    <row r="20" spans="1:8" ht="32" customHeight="1">
      <c r="A20" s="8" t="s">
        <v>27</v>
      </c>
      <c r="B20" s="8" t="s">
        <v>28</v>
      </c>
      <c r="C20" s="9">
        <v>1083500</v>
      </c>
      <c r="D20" s="9">
        <v>1113500</v>
      </c>
      <c r="E20" s="9">
        <v>1113500</v>
      </c>
      <c r="F20" s="9">
        <v>1113500</v>
      </c>
      <c r="G20" s="9">
        <v>1113500</v>
      </c>
      <c r="H20" s="8" t="s">
        <v>29</v>
      </c>
    </row>
    <row r="22" spans="1:8">
      <c r="A22" s="3" t="s">
        <v>31</v>
      </c>
      <c r="B22" s="3"/>
      <c r="C22" s="3"/>
      <c r="D22" s="3"/>
      <c r="E22" s="3"/>
      <c r="F22" s="3"/>
      <c r="G22" s="3"/>
      <c r="H22" s="3"/>
    </row>
    <row r="23" spans="1:8">
      <c r="A23" s="4" t="s">
        <v>32</v>
      </c>
      <c r="B23" s="4" t="s">
        <v>33</v>
      </c>
      <c r="C23" s="4" t="s">
        <v>34</v>
      </c>
      <c r="D23" s="4" t="s">
        <v>35</v>
      </c>
      <c r="E23" s="4" t="s">
        <v>37</v>
      </c>
      <c r="F23" s="4"/>
      <c r="G23" s="4"/>
      <c r="H23" s="4"/>
    </row>
    <row r="24" spans="1:8" ht="46" customHeight="1">
      <c r="A24" s="5" t="s">
        <v>38</v>
      </c>
      <c r="B24" s="5" t="s">
        <v>39</v>
      </c>
      <c r="C24" s="7">
        <v>35828316.01</v>
      </c>
      <c r="D24" s="7">
        <v>21288309.09</v>
      </c>
      <c r="E24" s="5" t="s">
        <v>40</v>
      </c>
      <c r="F24" s="5"/>
      <c r="G24" s="5"/>
      <c r="H24" s="5"/>
    </row>
    <row r="25" spans="1:8" ht="46" customHeight="1">
      <c r="A25" s="5" t="s">
        <v>41</v>
      </c>
      <c r="B25" s="5" t="s">
        <v>42</v>
      </c>
      <c r="C25" s="7">
        <v>2361909.56</v>
      </c>
      <c r="D25" s="7">
        <v>1567290</v>
      </c>
      <c r="E25" s="5" t="s">
        <v>43</v>
      </c>
      <c r="F25" s="5"/>
      <c r="G25" s="5"/>
      <c r="H25" s="5"/>
    </row>
    <row r="26" spans="1:8" ht="46" customHeight="1">
      <c r="A26" s="5" t="s">
        <v>44</v>
      </c>
      <c r="B26" s="5" t="s">
        <v>45</v>
      </c>
      <c r="C26" s="7">
        <v>736500</v>
      </c>
      <c r="D26" s="7">
        <v>0</v>
      </c>
      <c r="E26" s="5" t="s">
        <v>46</v>
      </c>
      <c r="F26" s="5"/>
      <c r="G26" s="5"/>
      <c r="H26" s="5"/>
    </row>
    <row r="27" spans="1:8" ht="46" customHeight="1">
      <c r="A27" s="5" t="s">
        <v>47</v>
      </c>
      <c r="B27" s="5" t="s">
        <v>48</v>
      </c>
      <c r="C27" s="7">
        <v>0</v>
      </c>
      <c r="D27" s="7">
        <v>5380000</v>
      </c>
      <c r="E27" s="5" t="s">
        <v>49</v>
      </c>
      <c r="F27" s="5"/>
      <c r="G27" s="5"/>
      <c r="H27" s="5"/>
    </row>
    <row r="28" spans="1:8" ht="46" customHeight="1">
      <c r="A28" s="5" t="s">
        <v>50</v>
      </c>
      <c r="B28" s="5" t="s">
        <v>51</v>
      </c>
      <c r="C28" s="7">
        <v>0</v>
      </c>
      <c r="D28" s="7">
        <v>-80000</v>
      </c>
      <c r="E28" s="5" t="s">
        <v>52</v>
      </c>
      <c r="F28" s="5"/>
      <c r="G28" s="5"/>
      <c r="H28" s="5"/>
    </row>
    <row r="29" spans="1:8">
      <c r="B29" s="8" t="s">
        <v>53</v>
      </c>
      <c r="C29" s="9">
        <v>38926725.57</v>
      </c>
      <c r="D29" s="9">
        <v>28155599.09</v>
      </c>
    </row>
    <row r="32" spans="1:8">
      <c r="A32" s="3" t="s">
        <v>54</v>
      </c>
      <c r="B32" s="3"/>
      <c r="C32" s="3"/>
      <c r="D32" s="3"/>
      <c r="E32" s="3"/>
      <c r="F32" s="3"/>
      <c r="G32" s="3"/>
      <c r="H32" s="3"/>
    </row>
    <row r="33" spans="1:8">
      <c r="A33" s="4" t="s">
        <v>32</v>
      </c>
      <c r="B33" s="4" t="s">
        <v>55</v>
      </c>
      <c r="C33" s="4" t="s">
        <v>56</v>
      </c>
      <c r="D33" s="4" t="s">
        <v>57</v>
      </c>
      <c r="E33" s="4" t="s">
        <v>58</v>
      </c>
      <c r="F33" s="4"/>
      <c r="G33" s="4"/>
      <c r="H33" s="4"/>
    </row>
    <row r="34" spans="1:8" ht="46" customHeight="1">
      <c r="A34" s="5" t="s">
        <v>59</v>
      </c>
      <c r="B34" s="5" t="s">
        <v>60</v>
      </c>
      <c r="C34" s="7">
        <v>0</v>
      </c>
      <c r="D34" s="7">
        <v>1201000</v>
      </c>
      <c r="E34" s="5" t="s">
        <v>61</v>
      </c>
      <c r="F34" s="5"/>
      <c r="G34" s="5"/>
      <c r="H34" s="5"/>
    </row>
    <row r="35" spans="1:8" ht="46" customHeight="1">
      <c r="A35" s="5" t="s">
        <v>62</v>
      </c>
      <c r="B35" s="5" t="s">
        <v>63</v>
      </c>
      <c r="C35" s="7">
        <v>0</v>
      </c>
      <c r="D35" s="7">
        <v>2500</v>
      </c>
      <c r="E35" s="5" t="s">
        <v>64</v>
      </c>
      <c r="F35" s="5"/>
      <c r="G35" s="5"/>
      <c r="H35" s="5"/>
    </row>
    <row r="36" spans="1:8" ht="46" customHeight="1">
      <c r="A36" s="5" t="s">
        <v>65</v>
      </c>
      <c r="B36" s="5" t="s">
        <v>66</v>
      </c>
      <c r="C36" s="7">
        <v>0</v>
      </c>
      <c r="D36" s="7">
        <v>-30000</v>
      </c>
      <c r="E36" s="5" t="s">
        <v>67</v>
      </c>
      <c r="F36" s="5"/>
      <c r="G36" s="5"/>
      <c r="H36" s="5"/>
    </row>
    <row r="37" spans="1:8" ht="46" customHeight="1">
      <c r="A37" s="5" t="s">
        <v>68</v>
      </c>
      <c r="B37" s="5" t="s">
        <v>69</v>
      </c>
      <c r="C37" s="7">
        <v>0</v>
      </c>
      <c r="D37" s="7">
        <v>-60000</v>
      </c>
      <c r="E37" s="5" t="s">
        <v>70</v>
      </c>
      <c r="F37" s="5"/>
      <c r="G37" s="5"/>
      <c r="H37" s="5"/>
    </row>
    <row r="38" spans="1:8" ht="46" customHeight="1">
      <c r="A38" s="5" t="s">
        <v>71</v>
      </c>
      <c r="B38" s="5" t="s">
        <v>72</v>
      </c>
      <c r="C38" s="7">
        <v>13506.36</v>
      </c>
      <c r="D38" s="7">
        <v>0</v>
      </c>
      <c r="E38" s="5" t="s">
        <v>73</v>
      </c>
      <c r="F38" s="5"/>
      <c r="G38" s="5"/>
      <c r="H38" s="5"/>
    </row>
    <row r="39" spans="1:8">
      <c r="B39" s="8" t="s">
        <v>74</v>
      </c>
      <c r="C39" s="9">
        <f>SUM(C34:C38)</f>
        <v>0</v>
      </c>
      <c r="D39" s="9">
        <f>SUM(D34:D38)</f>
        <v>0</v>
      </c>
      <c r="E39" s="8" t="s">
        <v>75</v>
      </c>
      <c r="F39" s="8"/>
      <c r="G39" s="8"/>
      <c r="H39" s="8"/>
    </row>
  </sheetData>
  <mergeCells count="18">
    <mergeCell ref="A2:H2"/>
    <mergeCell ref="A4:H4"/>
    <mergeCell ref="A13:H13"/>
    <mergeCell ref="A22:H22"/>
    <mergeCell ref="E23:H23"/>
    <mergeCell ref="E24:H24"/>
    <mergeCell ref="E25:H25"/>
    <mergeCell ref="E26:H26"/>
    <mergeCell ref="E27:H27"/>
    <mergeCell ref="E28:H28"/>
    <mergeCell ref="A32:H32"/>
    <mergeCell ref="E33:H33"/>
    <mergeCell ref="E34:H34"/>
    <mergeCell ref="E35:H35"/>
    <mergeCell ref="E36:H36"/>
    <mergeCell ref="E37:H37"/>
    <mergeCell ref="E38:H38"/>
    <mergeCell ref="E39:H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customWidth="1"/>
    <col min="2" max="10" width="15.7109375" style="7" customWidth="1"/>
  </cols>
  <sheetData>
    <row r="1" spans="1:9">
      <c r="A1" s="4" t="s">
        <v>76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</row>
    <row r="2" spans="1:9">
      <c r="A2" t="s">
        <v>85</v>
      </c>
      <c r="B2" s="7">
        <v>-8110370.17</v>
      </c>
      <c r="C2" s="7">
        <v>-2860000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</row>
    <row r="3" spans="1:9">
      <c r="A3" t="s">
        <v>86</v>
      </c>
      <c r="B3" s="7">
        <v>-19344242.17</v>
      </c>
      <c r="C3" s="7">
        <v>-7775500</v>
      </c>
      <c r="D3" s="7">
        <v>-0.01</v>
      </c>
      <c r="E3" s="7">
        <v>0</v>
      </c>
      <c r="F3" s="7">
        <v>-0.01</v>
      </c>
      <c r="G3" s="7">
        <v>0</v>
      </c>
      <c r="H3" s="7">
        <v>-0.01</v>
      </c>
      <c r="I3" s="7">
        <v>0</v>
      </c>
    </row>
    <row r="4" spans="1:9">
      <c r="A4" t="s">
        <v>87</v>
      </c>
      <c r="B4" s="7">
        <v>0.02</v>
      </c>
      <c r="C4" s="7">
        <v>330000</v>
      </c>
      <c r="D4" s="7">
        <v>0.02</v>
      </c>
      <c r="E4" s="7">
        <v>330000</v>
      </c>
      <c r="F4" s="7">
        <v>0.02</v>
      </c>
      <c r="G4" s="7">
        <v>330000</v>
      </c>
      <c r="H4" s="7">
        <v>0.02</v>
      </c>
      <c r="I4" s="7">
        <v>330000</v>
      </c>
    </row>
    <row r="5" spans="1:9">
      <c r="A5" t="s">
        <v>88</v>
      </c>
      <c r="B5" s="7">
        <v>0.42</v>
      </c>
      <c r="C5" s="7">
        <v>210000</v>
      </c>
      <c r="D5" s="7">
        <v>0.42</v>
      </c>
      <c r="E5" s="7">
        <v>210000</v>
      </c>
      <c r="F5" s="7">
        <v>0.42</v>
      </c>
      <c r="G5" s="7">
        <v>210000</v>
      </c>
      <c r="H5" s="7">
        <v>0.42</v>
      </c>
      <c r="I5" s="7">
        <v>210000</v>
      </c>
    </row>
    <row r="6" spans="1:9">
      <c r="A6" t="s">
        <v>89</v>
      </c>
      <c r="B6" s="7">
        <v>-0.01</v>
      </c>
      <c r="C6" s="7">
        <v>66000</v>
      </c>
      <c r="D6" s="7">
        <v>-0.01</v>
      </c>
      <c r="E6" s="7">
        <v>66000</v>
      </c>
      <c r="F6" s="7">
        <v>-0.01</v>
      </c>
      <c r="G6" s="7">
        <v>66000</v>
      </c>
      <c r="H6" s="7">
        <v>-0.01</v>
      </c>
      <c r="I6" s="7">
        <v>66000</v>
      </c>
    </row>
    <row r="7" spans="1:9">
      <c r="A7" t="s">
        <v>90</v>
      </c>
      <c r="B7" s="7">
        <v>0</v>
      </c>
      <c r="C7" s="7">
        <v>-5000000</v>
      </c>
      <c r="D7" s="7">
        <v>0</v>
      </c>
      <c r="E7" s="7">
        <v>-5000000</v>
      </c>
      <c r="F7" s="7">
        <v>0</v>
      </c>
      <c r="G7" s="7">
        <v>-5000000</v>
      </c>
      <c r="H7" s="7">
        <v>0</v>
      </c>
      <c r="I7" s="7">
        <v>0</v>
      </c>
    </row>
    <row r="8" spans="1:9">
      <c r="A8" t="s">
        <v>91</v>
      </c>
      <c r="B8" s="7">
        <v>-722994.41</v>
      </c>
      <c r="C8" s="7">
        <v>375000</v>
      </c>
      <c r="D8" s="7">
        <v>-722994.41</v>
      </c>
      <c r="E8" s="7">
        <v>375000</v>
      </c>
      <c r="F8" s="7">
        <v>-722994.41</v>
      </c>
      <c r="G8" s="7">
        <v>375000</v>
      </c>
      <c r="H8" s="7">
        <v>13505.59</v>
      </c>
      <c r="I8" s="7">
        <v>375000</v>
      </c>
    </row>
    <row r="9" spans="1:9">
      <c r="A9" t="s">
        <v>92</v>
      </c>
      <c r="B9" s="7">
        <v>-8373703.68</v>
      </c>
      <c r="C9" s="7">
        <v>-10652809.09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</row>
    <row r="10" spans="1:9">
      <c r="A10" t="s">
        <v>93</v>
      </c>
      <c r="B10" s="7">
        <v>-2361909.56</v>
      </c>
      <c r="C10" s="7">
        <v>-1567290</v>
      </c>
      <c r="D10" s="7">
        <v>-2361909.56</v>
      </c>
      <c r="E10" s="7">
        <v>-1567290</v>
      </c>
      <c r="F10" s="7">
        <v>0</v>
      </c>
      <c r="G10" s="7">
        <v>0</v>
      </c>
      <c r="H10" s="7">
        <v>0</v>
      </c>
      <c r="I10" s="7">
        <v>0</v>
      </c>
    </row>
    <row r="11" spans="1:9">
      <c r="A11" t="s">
        <v>94</v>
      </c>
      <c r="B11" s="7">
        <v>0.24</v>
      </c>
      <c r="C11" s="7">
        <v>40000</v>
      </c>
      <c r="D11" s="7">
        <v>0.24</v>
      </c>
      <c r="E11" s="7">
        <v>40000</v>
      </c>
      <c r="F11" s="7">
        <v>0.24</v>
      </c>
      <c r="G11" s="7">
        <v>40000</v>
      </c>
      <c r="H11" s="7">
        <v>0.24</v>
      </c>
      <c r="I11" s="7">
        <v>40000</v>
      </c>
    </row>
    <row r="12" spans="1:9">
      <c r="A12" t="s">
        <v>95</v>
      </c>
      <c r="B12" s="7">
        <v>0.08</v>
      </c>
      <c r="C12" s="7">
        <v>102500</v>
      </c>
      <c r="D12" s="7">
        <v>0.08</v>
      </c>
      <c r="E12" s="7">
        <v>102500</v>
      </c>
      <c r="F12" s="7">
        <v>0.08</v>
      </c>
      <c r="G12" s="7">
        <v>102500</v>
      </c>
      <c r="H12" s="7">
        <v>0.08</v>
      </c>
      <c r="I12" s="7">
        <v>122500</v>
      </c>
    </row>
    <row r="13" spans="1:9">
      <c r="A13" t="s">
        <v>96</v>
      </c>
      <c r="B13" s="7">
        <v>0.03</v>
      </c>
      <c r="C13" s="7">
        <v>-310000</v>
      </c>
      <c r="D13" s="7">
        <v>0.03</v>
      </c>
      <c r="E13" s="7">
        <v>-310000</v>
      </c>
      <c r="F13" s="7">
        <v>0.03</v>
      </c>
      <c r="G13" s="7">
        <v>-310000</v>
      </c>
      <c r="H13" s="7">
        <v>0.03</v>
      </c>
      <c r="I13" s="7">
        <v>-30000</v>
      </c>
    </row>
    <row r="15" spans="1:9">
      <c r="A15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Cuadro de cierre</vt:lpstr>
      <vt:lpstr>Detalle por póliza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2026-10-07T22:20:06Z</dcterms:created>
  <dcterms:modified xsi:type="dcterms:W3CDTF">2026-10-07T22:20:06Z</dcterms:modified>
</cp:coreProperties>
</file>